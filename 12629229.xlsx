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cap776\cap776\"/>
    </mc:Choice>
  </mc:AlternateContent>
  <xr:revisionPtr revIDLastSave="0" documentId="13_ncr:1_{A99C2F6F-F676-45FD-ACDA-DA6CBFC612D7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22" i="2"/>
  <c r="J2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<sst xmlns="http://schemas.openxmlformats.org/spreadsheetml/2006/main" count="123" uniqueCount="56">
  <si>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</si>
  <si>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</si>
  <si>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</si>
  <si>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</si>
  <si>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</si>
  <si>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</si>
  <si>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</si>
  <si>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</si>
  <si>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</si>
  <si>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</si>
  <si>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</si>
  <si>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</si>
  <si>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</si>
  <si>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</si>
  <si>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</si>
  <si>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</si>
  <si>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</si>
  <si>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</si>
  <si>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</si>
  <si>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</si>
  <si>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</si>
  <si>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</si>
  <si>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</si>
  <si>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</si>
  <si>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</si>
  <si>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</si>
  <si>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</si>
  <si>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</si>
  <si>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</si>
  <si>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</si>
  <si>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</si>
  <si>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</si>
  <si>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</si>
  <si>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</si>
  <si>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</si>
  <si>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</si>
  <si>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</si>
  <si>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</si>
  <si>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</si>
  <si>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</si>
  <si>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</si>
  <si>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</si>
  <si>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</si>
  <si>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</si>
  <si>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</si>
  <si>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</si>
  <si>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</si>
  <si>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</si>
  <si>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</si>
  <si>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</si>
  <si>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</si>
  <si>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</si>
  <si>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</si>
  <si>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 xml:space="preserve">MOHIT </t>
  </si>
  <si>
    <t xml:space="preserve">good day 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</si>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</sst>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  <font>
      <i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24" sqref="F2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5">
      <c r="A2" s="6" t="s">
        <v>30</v>
      </c>
      <c r="B2" s="21" t="s">
        <v>53</v>
      </c>
      <c r="C2" s="21"/>
      <c r="D2" s="21"/>
      <c r="E2" s="6" t="s">
        <v>31</v>
      </c>
      <c r="F2" s="21">
        <v>12629229</v>
      </c>
      <c r="G2" s="21"/>
    </row>
    <row r="3" spans="1:14" ht="19.5" customHeight="1" x14ac:dyDescent="0.25">
      <c r="A3" s="6" t="s">
        <v>32</v>
      </c>
      <c r="B3" s="21"/>
      <c r="C3" s="21"/>
      <c r="D3" s="21"/>
      <c r="E3" s="6" t="s">
        <v>33</v>
      </c>
      <c r="F3" s="21"/>
      <c r="G3" s="21"/>
    </row>
    <row r="4" spans="1:14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13">
        <v>46223</v>
      </c>
      <c r="B6" s="14">
        <v>425</v>
      </c>
      <c r="C6" s="14">
        <v>45</v>
      </c>
      <c r="D6" s="14">
        <v>120</v>
      </c>
      <c r="E6" s="14">
        <v>90</v>
      </c>
      <c r="F6" s="14">
        <v>180</v>
      </c>
      <c r="G6" s="14">
        <v>3</v>
      </c>
      <c r="H6" s="14">
        <v>30</v>
      </c>
      <c r="I6" s="15">
        <f t="shared" ref="I6:I69" si="0">IF(SUM(B6:F6,H6)=0,"",SUM(B6:F6,H6))</f>
        <v>890</v>
      </c>
      <c r="J6" s="15">
        <f t="shared" ref="J6:J69" si="1">IF(I6="","",1440-I6)</f>
        <v>550</v>
      </c>
      <c r="K6" s="16" t="s">
        <v>49</v>
      </c>
      <c r="L6" s="16" t="s">
        <v>50</v>
      </c>
      <c r="M6" s="16" t="s">
        <v>51</v>
      </c>
      <c r="N6" s="17" t="s">
        <v>54</v>
      </c>
    </row>
    <row r="7" spans="1:14" x14ac:dyDescent="0.25">
      <c r="A7" s="13">
        <v>46224</v>
      </c>
      <c r="B7" s="9">
        <v>500</v>
      </c>
      <c r="C7" s="9">
        <v>0</v>
      </c>
      <c r="D7" s="9">
        <v>180</v>
      </c>
      <c r="E7" s="9">
        <v>85</v>
      </c>
      <c r="F7" s="9">
        <v>200</v>
      </c>
      <c r="G7" s="9">
        <v>4</v>
      </c>
      <c r="H7" s="9">
        <v>30</v>
      </c>
      <c r="I7" s="10">
        <f t="shared" si="0"/>
        <v>995</v>
      </c>
      <c r="J7" s="10">
        <f t="shared" si="1"/>
        <v>445</v>
      </c>
      <c r="K7" s="11" t="s">
        <v>49</v>
      </c>
      <c r="L7" s="11" t="s">
        <v>50</v>
      </c>
      <c r="M7" s="11" t="s">
        <v>55</v>
      </c>
      <c r="N7" s="17" t="s">
        <v>54</v>
      </c>
    </row>
    <row r="8" spans="1:14" x14ac:dyDescent="0.25">
      <c r="A8" s="13">
        <v>46225</v>
      </c>
      <c r="B8" s="14">
        <v>480</v>
      </c>
      <c r="C8" s="9">
        <v>50</v>
      </c>
      <c r="D8" s="9">
        <v>180</v>
      </c>
      <c r="E8" s="9">
        <v>60</v>
      </c>
      <c r="F8" s="9">
        <v>0</v>
      </c>
      <c r="G8" s="9">
        <v>0</v>
      </c>
      <c r="H8" s="9">
        <v>30</v>
      </c>
      <c r="I8" s="10">
        <f t="shared" si="0"/>
        <v>800</v>
      </c>
      <c r="J8" s="10">
        <f t="shared" si="1"/>
        <v>640</v>
      </c>
      <c r="K8" s="16" t="s">
        <v>49</v>
      </c>
      <c r="L8" s="16" t="s">
        <v>50</v>
      </c>
      <c r="M8" s="11" t="s">
        <v>55</v>
      </c>
      <c r="N8" s="17" t="s">
        <v>54</v>
      </c>
    </row>
    <row r="9" spans="1:14" x14ac:dyDescent="0.25">
      <c r="A9" s="13">
        <v>46226</v>
      </c>
      <c r="B9" s="9">
        <v>420</v>
      </c>
      <c r="C9" s="9">
        <v>25</v>
      </c>
      <c r="D9" s="9">
        <v>180</v>
      </c>
      <c r="E9" s="9">
        <v>120</v>
      </c>
      <c r="F9" s="9">
        <v>0</v>
      </c>
      <c r="G9" s="9">
        <v>0</v>
      </c>
      <c r="H9" s="9">
        <v>50</v>
      </c>
      <c r="I9" s="10">
        <f t="shared" si="0"/>
        <v>795</v>
      </c>
      <c r="J9" s="10">
        <f t="shared" si="1"/>
        <v>645</v>
      </c>
      <c r="K9" s="11" t="s">
        <v>49</v>
      </c>
      <c r="L9" s="11" t="s">
        <v>50</v>
      </c>
      <c r="M9" s="11" t="s">
        <v>55</v>
      </c>
      <c r="N9" s="17" t="s">
        <v>54</v>
      </c>
    </row>
    <row r="10" spans="1:14" x14ac:dyDescent="0.25">
      <c r="A10" s="13">
        <v>46227</v>
      </c>
      <c r="B10" s="18">
        <v>440</v>
      </c>
      <c r="C10" s="9">
        <v>45</v>
      </c>
      <c r="D10" s="9">
        <v>120</v>
      </c>
      <c r="E10" s="9">
        <v>105</v>
      </c>
      <c r="F10" s="9">
        <v>150</v>
      </c>
      <c r="G10" s="9">
        <v>3</v>
      </c>
      <c r="H10" s="9">
        <v>60</v>
      </c>
      <c r="I10" s="10">
        <f t="shared" si="0"/>
        <v>920</v>
      </c>
      <c r="J10" s="10">
        <f t="shared" si="1"/>
        <v>520</v>
      </c>
      <c r="K10" s="16" t="s">
        <v>49</v>
      </c>
      <c r="L10" s="16" t="s">
        <v>50</v>
      </c>
      <c r="M10" s="16" t="s">
        <v>51</v>
      </c>
      <c r="N10" s="17" t="s">
        <v>54</v>
      </c>
    </row>
    <row r="11" spans="1:14" x14ac:dyDescent="0.25">
      <c r="A11" s="13">
        <v>46228</v>
      </c>
      <c r="B11" s="9">
        <v>445</v>
      </c>
      <c r="C11" s="9">
        <v>90</v>
      </c>
      <c r="D11" s="9">
        <v>130</v>
      </c>
      <c r="E11" s="9">
        <v>120</v>
      </c>
      <c r="F11" s="9">
        <v>150</v>
      </c>
      <c r="G11" s="9">
        <v>3</v>
      </c>
      <c r="H11" s="9">
        <v>45</v>
      </c>
      <c r="I11" s="10">
        <f t="shared" si="0"/>
        <v>980</v>
      </c>
      <c r="J11" s="10">
        <f t="shared" si="1"/>
        <v>460</v>
      </c>
      <c r="K11" s="11" t="s">
        <v>49</v>
      </c>
      <c r="L11" s="11" t="s">
        <v>50</v>
      </c>
      <c r="M11" s="16" t="s">
        <v>51</v>
      </c>
      <c r="N11" s="17" t="s">
        <v>54</v>
      </c>
    </row>
    <row r="12" spans="1:14" x14ac:dyDescent="0.25">
      <c r="A12" s="13">
        <v>46229</v>
      </c>
      <c r="B12" s="18">
        <v>450</v>
      </c>
      <c r="C12" s="9">
        <v>85</v>
      </c>
      <c r="D12" s="9">
        <v>120</v>
      </c>
      <c r="E12" s="9">
        <v>70</v>
      </c>
      <c r="F12" s="9">
        <v>250</v>
      </c>
      <c r="G12" s="9">
        <v>5</v>
      </c>
      <c r="H12" s="9">
        <v>60</v>
      </c>
      <c r="I12" s="10">
        <f t="shared" si="0"/>
        <v>1035</v>
      </c>
      <c r="J12" s="10">
        <f t="shared" si="1"/>
        <v>405</v>
      </c>
      <c r="K12" s="16" t="s">
        <v>49</v>
      </c>
      <c r="L12" s="16" t="s">
        <v>50</v>
      </c>
      <c r="M12" s="16" t="s">
        <v>51</v>
      </c>
      <c r="N12" s="17" t="s">
        <v>54</v>
      </c>
    </row>
    <row r="13" spans="1:14" x14ac:dyDescent="0.25">
      <c r="A13" s="13">
        <v>46230</v>
      </c>
      <c r="B13" s="9">
        <v>455</v>
      </c>
      <c r="C13" s="9">
        <v>0</v>
      </c>
      <c r="D13" s="9">
        <v>150</v>
      </c>
      <c r="E13" s="9">
        <v>60</v>
      </c>
      <c r="F13" s="9">
        <v>200</v>
      </c>
      <c r="G13" s="9">
        <v>4</v>
      </c>
      <c r="H13" s="9">
        <v>30</v>
      </c>
      <c r="I13" s="10">
        <f t="shared" si="0"/>
        <v>895</v>
      </c>
      <c r="J13" s="10">
        <f t="shared" si="1"/>
        <v>545</v>
      </c>
      <c r="K13" s="11" t="s">
        <v>49</v>
      </c>
      <c r="L13" s="11" t="s">
        <v>50</v>
      </c>
      <c r="M13" s="16" t="s">
        <v>51</v>
      </c>
      <c r="N13" s="17" t="s">
        <v>54</v>
      </c>
    </row>
    <row r="14" spans="1:14" x14ac:dyDescent="0.25">
      <c r="A14" s="13">
        <v>46231</v>
      </c>
      <c r="B14" s="18">
        <v>460</v>
      </c>
      <c r="C14" s="9">
        <v>0</v>
      </c>
      <c r="D14" s="9">
        <v>50</v>
      </c>
      <c r="E14" s="9">
        <v>160</v>
      </c>
      <c r="F14" s="9">
        <v>200</v>
      </c>
      <c r="G14" s="9">
        <v>4</v>
      </c>
      <c r="H14" s="9">
        <v>25</v>
      </c>
      <c r="I14" s="10">
        <f t="shared" si="0"/>
        <v>895</v>
      </c>
      <c r="J14" s="10">
        <f t="shared" si="1"/>
        <v>545</v>
      </c>
      <c r="K14" s="16" t="s">
        <v>49</v>
      </c>
      <c r="L14" s="16" t="s">
        <v>50</v>
      </c>
      <c r="M14" s="16" t="s">
        <v>51</v>
      </c>
      <c r="N14" s="17" t="s">
        <v>54</v>
      </c>
    </row>
    <row r="15" spans="1:14" x14ac:dyDescent="0.25">
      <c r="A15" s="13">
        <v>46232</v>
      </c>
      <c r="B15" s="9">
        <v>465</v>
      </c>
      <c r="C15" s="9">
        <v>90</v>
      </c>
      <c r="D15" s="9">
        <v>180</v>
      </c>
      <c r="E15" s="9">
        <v>60</v>
      </c>
      <c r="F15" s="9">
        <v>0</v>
      </c>
      <c r="G15" s="9">
        <v>0</v>
      </c>
      <c r="H15" s="9">
        <v>40</v>
      </c>
      <c r="I15" s="10">
        <f t="shared" si="0"/>
        <v>835</v>
      </c>
      <c r="J15" s="10">
        <f t="shared" si="1"/>
        <v>605</v>
      </c>
      <c r="K15" s="11" t="s">
        <v>49</v>
      </c>
      <c r="L15" s="11" t="s">
        <v>50</v>
      </c>
      <c r="M15" s="11" t="s">
        <v>55</v>
      </c>
      <c r="N15" s="17" t="s">
        <v>54</v>
      </c>
    </row>
    <row r="16" spans="1:14" x14ac:dyDescent="0.25">
      <c r="A16" s="13">
        <v>46233</v>
      </c>
      <c r="B16" s="18">
        <v>470</v>
      </c>
      <c r="C16" s="9">
        <v>45</v>
      </c>
      <c r="D16" s="9">
        <v>200</v>
      </c>
      <c r="E16" s="9">
        <v>30</v>
      </c>
      <c r="F16" s="9">
        <v>0</v>
      </c>
      <c r="G16" s="9">
        <v>0</v>
      </c>
      <c r="H16" s="9">
        <v>45</v>
      </c>
      <c r="I16" s="10">
        <f t="shared" si="0"/>
        <v>790</v>
      </c>
      <c r="J16" s="10">
        <f t="shared" si="1"/>
        <v>650</v>
      </c>
      <c r="K16" s="16" t="s">
        <v>49</v>
      </c>
      <c r="L16" s="16" t="s">
        <v>50</v>
      </c>
      <c r="M16" s="11" t="s">
        <v>55</v>
      </c>
      <c r="N16" s="17" t="s">
        <v>54</v>
      </c>
    </row>
    <row r="17" spans="1:14" x14ac:dyDescent="0.25">
      <c r="A17" s="13">
        <v>46234</v>
      </c>
      <c r="B17" s="9">
        <v>475</v>
      </c>
      <c r="C17" s="9">
        <v>45</v>
      </c>
      <c r="D17" s="9">
        <v>80</v>
      </c>
      <c r="E17" s="9">
        <v>30</v>
      </c>
      <c r="F17" s="9">
        <v>200</v>
      </c>
      <c r="G17" s="9">
        <v>4</v>
      </c>
      <c r="H17" s="9">
        <v>30</v>
      </c>
      <c r="I17" s="10">
        <f t="shared" si="0"/>
        <v>860</v>
      </c>
      <c r="J17" s="10">
        <f t="shared" si="1"/>
        <v>580</v>
      </c>
      <c r="K17" s="11" t="s">
        <v>49</v>
      </c>
      <c r="L17" s="11" t="s">
        <v>50</v>
      </c>
      <c r="M17" s="16" t="s">
        <v>51</v>
      </c>
      <c r="N17" s="17" t="s">
        <v>54</v>
      </c>
    </row>
    <row r="18" spans="1:14" x14ac:dyDescent="0.25">
      <c r="A18" s="13">
        <v>46235</v>
      </c>
      <c r="B18" s="18">
        <v>440</v>
      </c>
      <c r="C18" s="9">
        <v>45</v>
      </c>
      <c r="D18" s="9">
        <v>120</v>
      </c>
      <c r="E18" s="9">
        <v>105</v>
      </c>
      <c r="F18" s="9">
        <v>150</v>
      </c>
      <c r="G18" s="9">
        <v>3</v>
      </c>
      <c r="H18" s="9">
        <v>60</v>
      </c>
      <c r="I18" s="10">
        <f t="shared" si="0"/>
        <v>920</v>
      </c>
      <c r="J18" s="10">
        <f t="shared" si="1"/>
        <v>520</v>
      </c>
      <c r="K18" s="16" t="s">
        <v>49</v>
      </c>
      <c r="L18" s="16" t="s">
        <v>50</v>
      </c>
      <c r="M18" s="16" t="s">
        <v>51</v>
      </c>
      <c r="N18" s="17" t="s">
        <v>54</v>
      </c>
    </row>
    <row r="19" spans="1:14" x14ac:dyDescent="0.25">
      <c r="A19" s="13">
        <v>46236</v>
      </c>
      <c r="B19" s="9">
        <v>445</v>
      </c>
      <c r="C19" s="9">
        <v>90</v>
      </c>
      <c r="D19" s="9">
        <v>130</v>
      </c>
      <c r="E19" s="9">
        <v>120</v>
      </c>
      <c r="F19" s="9">
        <v>150</v>
      </c>
      <c r="G19" s="9">
        <v>3</v>
      </c>
      <c r="H19" s="9">
        <v>45</v>
      </c>
      <c r="I19" s="10">
        <f t="shared" si="0"/>
        <v>980</v>
      </c>
      <c r="J19" s="10">
        <f t="shared" si="1"/>
        <v>460</v>
      </c>
      <c r="K19" s="11" t="s">
        <v>49</v>
      </c>
      <c r="L19" s="11" t="s">
        <v>50</v>
      </c>
      <c r="M19" s="16" t="s">
        <v>51</v>
      </c>
      <c r="N19" s="17" t="s">
        <v>54</v>
      </c>
    </row>
    <row r="20" spans="1:14" x14ac:dyDescent="0.25">
      <c r="A20" s="13">
        <v>46237</v>
      </c>
      <c r="B20" s="18">
        <v>450</v>
      </c>
      <c r="C20" s="9">
        <v>85</v>
      </c>
      <c r="D20" s="9">
        <v>120</v>
      </c>
      <c r="E20" s="9">
        <v>70</v>
      </c>
      <c r="F20" s="9">
        <v>250</v>
      </c>
      <c r="G20" s="9">
        <v>5</v>
      </c>
      <c r="H20" s="9">
        <v>60</v>
      </c>
      <c r="I20" s="10">
        <f t="shared" si="0"/>
        <v>1035</v>
      </c>
      <c r="J20" s="10">
        <f t="shared" si="1"/>
        <v>405</v>
      </c>
      <c r="K20" s="16" t="s">
        <v>49</v>
      </c>
      <c r="L20" s="16" t="s">
        <v>50</v>
      </c>
      <c r="M20" s="11" t="s">
        <v>51</v>
      </c>
      <c r="N20" s="17" t="s">
        <v>54</v>
      </c>
    </row>
    <row r="21" spans="1:14" x14ac:dyDescent="0.25">
      <c r="A21" s="13">
        <v>46238</v>
      </c>
      <c r="B21" s="9">
        <v>455</v>
      </c>
      <c r="C21" s="9">
        <v>0</v>
      </c>
      <c r="D21" s="9">
        <v>150</v>
      </c>
      <c r="E21" s="9">
        <v>60</v>
      </c>
      <c r="F21" s="9">
        <v>200</v>
      </c>
      <c r="G21" s="9">
        <v>4</v>
      </c>
      <c r="H21" s="9">
        <v>30</v>
      </c>
      <c r="I21" s="10">
        <f t="shared" si="0"/>
        <v>895</v>
      </c>
      <c r="J21" s="10">
        <f t="shared" si="1"/>
        <v>545</v>
      </c>
      <c r="K21" s="16" t="s">
        <v>49</v>
      </c>
      <c r="L21" s="11" t="s">
        <v>50</v>
      </c>
      <c r="M21" s="11" t="s">
        <v>55</v>
      </c>
      <c r="N21" s="17" t="s">
        <v>54</v>
      </c>
    </row>
    <row r="22" spans="1:14" x14ac:dyDescent="0.25">
      <c r="A22" s="13">
        <v>46239</v>
      </c>
      <c r="B22" s="9">
        <v>465</v>
      </c>
      <c r="C22" s="9">
        <v>90</v>
      </c>
      <c r="D22" s="9">
        <v>180</v>
      </c>
      <c r="E22" s="9">
        <v>60</v>
      </c>
      <c r="F22" s="9">
        <v>0</v>
      </c>
      <c r="G22" s="9">
        <v>0</v>
      </c>
      <c r="H22" s="9">
        <v>40</v>
      </c>
      <c r="I22" s="10">
        <f t="shared" ref="I22:I23" si="2">IF(SUM(B22:F22,H22)=0,"",SUM(B22:F22,H22))</f>
        <v>835</v>
      </c>
      <c r="J22" s="10">
        <f t="shared" ref="J22:J23" si="3">IF(I22="","",1440-I22)</f>
        <v>605</v>
      </c>
      <c r="K22" s="11" t="s">
        <v>49</v>
      </c>
      <c r="L22" s="11" t="s">
        <v>50</v>
      </c>
      <c r="M22" s="11" t="s">
        <v>55</v>
      </c>
      <c r="N22" s="17" t="s">
        <v>54</v>
      </c>
    </row>
    <row r="23" spans="1:14" x14ac:dyDescent="0.25">
      <c r="A23" s="13">
        <v>46240</v>
      </c>
      <c r="B23" s="18">
        <v>470</v>
      </c>
      <c r="C23" s="9">
        <v>45</v>
      </c>
      <c r="D23" s="9">
        <v>150</v>
      </c>
      <c r="E23" s="9">
        <v>30</v>
      </c>
      <c r="F23" s="9">
        <v>0</v>
      </c>
      <c r="G23" s="9">
        <v>0</v>
      </c>
      <c r="H23" s="9">
        <v>45</v>
      </c>
      <c r="I23" s="10">
        <f t="shared" si="2"/>
        <v>740</v>
      </c>
      <c r="J23" s="10">
        <f t="shared" si="3"/>
        <v>700</v>
      </c>
      <c r="K23" s="16" t="s">
        <v>49</v>
      </c>
      <c r="L23" s="16" t="s">
        <v>50</v>
      </c>
      <c r="M23" s="11" t="s">
        <v>55</v>
      </c>
      <c r="N23" s="17" t="s">
        <v>54</v>
      </c>
    </row>
    <row r="24" spans="1:14" x14ac:dyDescent="0.25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7"/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ref="I70:I133" si="4">IF(SUM(B70:F70,H70)=0,"",SUM(B70:F70,H70))</f>
        <v/>
      </c>
      <c r="J70" s="10" t="str">
        <f t="shared" ref="J70:J133" si="5">IF(I70="","",1440-I70)</f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4"/>
        <v/>
      </c>
      <c r="J71" s="10" t="str">
        <f t="shared" si="5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4"/>
        <v/>
      </c>
      <c r="J72" s="10" t="str">
        <f t="shared" si="5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4"/>
        <v/>
      </c>
      <c r="J73" s="10" t="str">
        <f t="shared" si="5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6">IF(SUM(B134:F134,H134)=0,"",SUM(B134:F134,H134))</f>
        <v/>
      </c>
      <c r="J134" s="10" t="str">
        <f t="shared" ref="J134:J197" si="7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6"/>
        <v/>
      </c>
      <c r="J135" s="10" t="str">
        <f t="shared" si="7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6"/>
        <v/>
      </c>
      <c r="J136" s="10" t="str">
        <f t="shared" si="7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6"/>
        <v/>
      </c>
      <c r="J137" s="10" t="str">
        <f t="shared" si="7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6"/>
        <v/>
      </c>
      <c r="J149" s="10" t="str">
        <f t="shared" si="7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6"/>
        <v/>
      </c>
      <c r="J150" s="10" t="str">
        <f t="shared" si="7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6"/>
        <v/>
      </c>
      <c r="J151" s="10" t="str">
        <f t="shared" si="7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6"/>
        <v/>
      </c>
      <c r="J152" s="10" t="str">
        <f t="shared" si="7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6"/>
        <v/>
      </c>
      <c r="J153" s="10" t="str">
        <f t="shared" si="7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6"/>
        <v/>
      </c>
      <c r="J154" s="10" t="str">
        <f t="shared" si="7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6"/>
        <v/>
      </c>
      <c r="J155" s="10" t="str">
        <f t="shared" si="7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6"/>
        <v/>
      </c>
      <c r="J156" s="10" t="str">
        <f t="shared" si="7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6"/>
        <v/>
      </c>
      <c r="J157" s="10" t="str">
        <f t="shared" si="7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6"/>
        <v/>
      </c>
      <c r="J158" s="10" t="str">
        <f t="shared" si="7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6"/>
        <v/>
      </c>
      <c r="J159" s="10" t="str">
        <f t="shared" si="7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6"/>
        <v/>
      </c>
      <c r="J160" s="10" t="str">
        <f t="shared" si="7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6"/>
        <v/>
      </c>
      <c r="J161" s="10" t="str">
        <f t="shared" si="7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6"/>
        <v/>
      </c>
      <c r="J162" s="10" t="str">
        <f t="shared" si="7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6"/>
        <v/>
      </c>
      <c r="J163" s="10" t="str">
        <f t="shared" si="7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6"/>
        <v/>
      </c>
      <c r="J164" s="10" t="str">
        <f t="shared" si="7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6"/>
        <v/>
      </c>
      <c r="J165" s="10" t="str">
        <f t="shared" si="7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6"/>
        <v/>
      </c>
      <c r="J166" s="10" t="str">
        <f t="shared" si="7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6"/>
        <v/>
      </c>
      <c r="J167" s="10" t="str">
        <f t="shared" si="7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6"/>
        <v/>
      </c>
      <c r="J168" s="10" t="str">
        <f t="shared" si="7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6"/>
        <v/>
      </c>
      <c r="J169" s="10" t="str">
        <f t="shared" si="7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6"/>
        <v/>
      </c>
      <c r="J170" s="10" t="str">
        <f t="shared" si="7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6"/>
        <v/>
      </c>
      <c r="J171" s="10" t="str">
        <f t="shared" si="7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6"/>
        <v/>
      </c>
      <c r="J172" s="10" t="str">
        <f t="shared" si="7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6"/>
        <v/>
      </c>
      <c r="J173" s="10" t="str">
        <f t="shared" si="7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6"/>
        <v/>
      </c>
      <c r="J174" s="10" t="str">
        <f t="shared" si="7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6"/>
        <v/>
      </c>
      <c r="J175" s="10" t="str">
        <f t="shared" si="7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6"/>
        <v/>
      </c>
      <c r="J176" s="10" t="str">
        <f t="shared" si="7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6"/>
        <v/>
      </c>
      <c r="J177" s="10" t="str">
        <f t="shared" si="7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6"/>
        <v/>
      </c>
      <c r="J178" s="10" t="str">
        <f t="shared" si="7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6"/>
        <v/>
      </c>
      <c r="J179" s="10" t="str">
        <f t="shared" si="7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6"/>
        <v/>
      </c>
      <c r="J180" s="10" t="str">
        <f t="shared" si="7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6"/>
        <v/>
      </c>
      <c r="J181" s="10" t="str">
        <f t="shared" si="7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6"/>
        <v/>
      </c>
      <c r="J182" s="10" t="str">
        <f t="shared" si="7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6"/>
        <v/>
      </c>
      <c r="J183" s="10" t="str">
        <f t="shared" si="7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6"/>
        <v/>
      </c>
      <c r="J184" s="10" t="str">
        <f t="shared" si="7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6"/>
        <v/>
      </c>
      <c r="J185" s="10" t="str">
        <f t="shared" si="7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6"/>
        <v/>
      </c>
      <c r="J186" s="10" t="str">
        <f t="shared" si="7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6"/>
        <v/>
      </c>
      <c r="J187" s="10" t="str">
        <f t="shared" si="7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6"/>
        <v/>
      </c>
      <c r="J188" s="10" t="str">
        <f t="shared" si="7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6"/>
        <v/>
      </c>
      <c r="J189" s="10" t="str">
        <f t="shared" si="7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8">IF(SUM(B198:F198,H198)=0,"",SUM(B198:F198,H198))</f>
        <v/>
      </c>
      <c r="J198" s="10" t="str">
        <f t="shared" ref="J198:J261" si="9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8"/>
        <v/>
      </c>
      <c r="J199" s="10" t="str">
        <f t="shared" si="9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8"/>
        <v/>
      </c>
      <c r="J200" s="10" t="str">
        <f t="shared" si="9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8"/>
        <v/>
      </c>
      <c r="J201" s="10" t="str">
        <f t="shared" si="9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8"/>
        <v/>
      </c>
      <c r="J202" s="10" t="str">
        <f t="shared" si="9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8"/>
        <v/>
      </c>
      <c r="J203" s="10" t="str">
        <f t="shared" si="9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8"/>
        <v/>
      </c>
      <c r="J204" s="10" t="str">
        <f t="shared" si="9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8"/>
        <v/>
      </c>
      <c r="J205" s="10" t="str">
        <f t="shared" si="9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8"/>
        <v/>
      </c>
      <c r="J206" s="10" t="str">
        <f t="shared" si="9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8"/>
        <v/>
      </c>
      <c r="J207" s="10" t="str">
        <f t="shared" si="9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8"/>
        <v/>
      </c>
      <c r="J208" s="10" t="str">
        <f t="shared" si="9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8"/>
        <v/>
      </c>
      <c r="J209" s="10" t="str">
        <f t="shared" si="9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8"/>
        <v/>
      </c>
      <c r="J210" s="10" t="str">
        <f t="shared" si="9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8"/>
        <v/>
      </c>
      <c r="J211" s="10" t="str">
        <f t="shared" si="9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8"/>
        <v/>
      </c>
      <c r="J212" s="10" t="str">
        <f t="shared" si="9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8"/>
        <v/>
      </c>
      <c r="J213" s="10" t="str">
        <f t="shared" si="9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8"/>
        <v/>
      </c>
      <c r="J214" s="10" t="str">
        <f t="shared" si="9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8"/>
        <v/>
      </c>
      <c r="J215" s="10" t="str">
        <f t="shared" si="9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8"/>
        <v/>
      </c>
      <c r="J216" s="10" t="str">
        <f t="shared" si="9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8"/>
        <v/>
      </c>
      <c r="J217" s="10" t="str">
        <f t="shared" si="9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8"/>
        <v/>
      </c>
      <c r="J218" s="10" t="str">
        <f t="shared" si="9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8"/>
        <v/>
      </c>
      <c r="J219" s="10" t="str">
        <f t="shared" si="9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8"/>
        <v/>
      </c>
      <c r="J220" s="10" t="str">
        <f t="shared" si="9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8"/>
        <v/>
      </c>
      <c r="J221" s="10" t="str">
        <f t="shared" si="9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8"/>
        <v/>
      </c>
      <c r="J222" s="10" t="str">
        <f t="shared" si="9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8"/>
        <v/>
      </c>
      <c r="J223" s="10" t="str">
        <f t="shared" si="9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8"/>
        <v/>
      </c>
      <c r="J224" s="10" t="str">
        <f t="shared" si="9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8"/>
        <v/>
      </c>
      <c r="J225" s="10" t="str">
        <f t="shared" si="9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8"/>
        <v/>
      </c>
      <c r="J226" s="10" t="str">
        <f t="shared" si="9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8"/>
        <v/>
      </c>
      <c r="J227" s="10" t="str">
        <f t="shared" si="9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8"/>
        <v/>
      </c>
      <c r="J228" s="10" t="str">
        <f t="shared" si="9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8"/>
        <v/>
      </c>
      <c r="J229" s="10" t="str">
        <f t="shared" si="9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8"/>
        <v/>
      </c>
      <c r="J230" s="10" t="str">
        <f t="shared" si="9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8"/>
        <v/>
      </c>
      <c r="J231" s="10" t="str">
        <f t="shared" si="9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8"/>
        <v/>
      </c>
      <c r="J232" s="10" t="str">
        <f t="shared" si="9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8"/>
        <v/>
      </c>
      <c r="J233" s="10" t="str">
        <f t="shared" si="9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8"/>
        <v/>
      </c>
      <c r="J234" s="10" t="str">
        <f t="shared" si="9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8"/>
        <v/>
      </c>
      <c r="J235" s="10" t="str">
        <f t="shared" si="9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8"/>
        <v/>
      </c>
      <c r="J236" s="10" t="str">
        <f t="shared" si="9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8"/>
        <v/>
      </c>
      <c r="J237" s="10" t="str">
        <f t="shared" si="9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8"/>
        <v/>
      </c>
      <c r="J238" s="10" t="str">
        <f t="shared" si="9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8"/>
        <v/>
      </c>
      <c r="J239" s="10" t="str">
        <f t="shared" si="9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8"/>
        <v/>
      </c>
      <c r="J240" s="10" t="str">
        <f t="shared" si="9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8"/>
        <v/>
      </c>
      <c r="J241" s="10" t="str">
        <f t="shared" si="9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8"/>
        <v/>
      </c>
      <c r="J242" s="10" t="str">
        <f t="shared" si="9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8"/>
        <v/>
      </c>
      <c r="J243" s="10" t="str">
        <f t="shared" si="9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8"/>
        <v/>
      </c>
      <c r="J244" s="10" t="str">
        <f t="shared" si="9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8"/>
        <v/>
      </c>
      <c r="J245" s="10" t="str">
        <f t="shared" si="9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8"/>
        <v/>
      </c>
      <c r="J246" s="10" t="str">
        <f t="shared" si="9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8"/>
        <v/>
      </c>
      <c r="J247" s="10" t="str">
        <f t="shared" si="9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8"/>
        <v/>
      </c>
      <c r="J248" s="10" t="str">
        <f t="shared" si="9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8"/>
        <v/>
      </c>
      <c r="J249" s="10" t="str">
        <f t="shared" si="9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8"/>
        <v/>
      </c>
      <c r="J250" s="10" t="str">
        <f t="shared" si="9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8"/>
        <v/>
      </c>
      <c r="J251" s="10" t="str">
        <f t="shared" si="9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8"/>
        <v/>
      </c>
      <c r="J252" s="10" t="str">
        <f t="shared" si="9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8"/>
        <v/>
      </c>
      <c r="J253" s="10" t="str">
        <f t="shared" si="9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0">IF(SUM(B262:F262,H262)=0,"",SUM(B262:F262,H262))</f>
        <v/>
      </c>
      <c r="J262" s="10" t="str">
        <f t="shared" ref="J262:J325" si="11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0"/>
        <v/>
      </c>
      <c r="J263" s="10" t="str">
        <f t="shared" si="11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0"/>
        <v/>
      </c>
      <c r="J264" s="10" t="str">
        <f t="shared" si="11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10"/>
        <v/>
      </c>
      <c r="J265" s="10" t="str">
        <f t="shared" si="11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0"/>
        <v/>
      </c>
      <c r="J266" s="10" t="str">
        <f t="shared" si="11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0"/>
        <v/>
      </c>
      <c r="J267" s="10" t="str">
        <f t="shared" si="11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0"/>
        <v/>
      </c>
      <c r="J268" s="10" t="str">
        <f t="shared" si="11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0"/>
        <v/>
      </c>
      <c r="J269" s="10" t="str">
        <f t="shared" si="11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0"/>
        <v/>
      </c>
      <c r="J270" s="10" t="str">
        <f t="shared" si="11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0"/>
        <v/>
      </c>
      <c r="J271" s="10" t="str">
        <f t="shared" si="11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0"/>
        <v/>
      </c>
      <c r="J272" s="10" t="str">
        <f t="shared" si="11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0"/>
        <v/>
      </c>
      <c r="J273" s="10" t="str">
        <f t="shared" si="11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0"/>
        <v/>
      </c>
      <c r="J274" s="10" t="str">
        <f t="shared" si="11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0"/>
        <v/>
      </c>
      <c r="J275" s="10" t="str">
        <f t="shared" si="11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0"/>
        <v/>
      </c>
      <c r="J276" s="10" t="str">
        <f t="shared" si="11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0"/>
        <v/>
      </c>
      <c r="J277" s="10" t="str">
        <f t="shared" si="11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0"/>
        <v/>
      </c>
      <c r="J278" s="10" t="str">
        <f t="shared" si="11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0"/>
        <v/>
      </c>
      <c r="J279" s="10" t="str">
        <f t="shared" si="11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0"/>
        <v/>
      </c>
      <c r="J280" s="10" t="str">
        <f t="shared" si="11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0"/>
        <v/>
      </c>
      <c r="J281" s="10" t="str">
        <f t="shared" si="11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0"/>
        <v/>
      </c>
      <c r="J282" s="10" t="str">
        <f t="shared" si="11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0"/>
        <v/>
      </c>
      <c r="J283" s="10" t="str">
        <f t="shared" si="11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0"/>
        <v/>
      </c>
      <c r="J284" s="10" t="str">
        <f t="shared" si="11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0"/>
        <v/>
      </c>
      <c r="J285" s="10" t="str">
        <f t="shared" si="11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0"/>
        <v/>
      </c>
      <c r="J286" s="10" t="str">
        <f t="shared" si="11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0"/>
        <v/>
      </c>
      <c r="J287" s="10" t="str">
        <f t="shared" si="11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0"/>
        <v/>
      </c>
      <c r="J288" s="10" t="str">
        <f t="shared" si="11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0"/>
        <v/>
      </c>
      <c r="J289" s="10" t="str">
        <f t="shared" si="11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0"/>
        <v/>
      </c>
      <c r="J290" s="10" t="str">
        <f t="shared" si="11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0"/>
        <v/>
      </c>
      <c r="J291" s="10" t="str">
        <f t="shared" si="11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0"/>
        <v/>
      </c>
      <c r="J292" s="10" t="str">
        <f t="shared" si="11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0"/>
        <v/>
      </c>
      <c r="J293" s="10" t="str">
        <f t="shared" si="11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0"/>
        <v/>
      </c>
      <c r="J294" s="10" t="str">
        <f t="shared" si="11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0"/>
        <v/>
      </c>
      <c r="J295" s="10" t="str">
        <f t="shared" si="11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0"/>
        <v/>
      </c>
      <c r="J296" s="10" t="str">
        <f t="shared" si="11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0"/>
        <v/>
      </c>
      <c r="J297" s="10" t="str">
        <f t="shared" si="11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0"/>
        <v/>
      </c>
      <c r="J298" s="10" t="str">
        <f t="shared" si="11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0"/>
        <v/>
      </c>
      <c r="J299" s="10" t="str">
        <f t="shared" si="11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0"/>
        <v/>
      </c>
      <c r="J300" s="10" t="str">
        <f t="shared" si="11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0"/>
        <v/>
      </c>
      <c r="J301" s="10" t="str">
        <f t="shared" si="11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0"/>
        <v/>
      </c>
      <c r="J302" s="10" t="str">
        <f t="shared" si="11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0"/>
        <v/>
      </c>
      <c r="J303" s="10" t="str">
        <f t="shared" si="11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0"/>
        <v/>
      </c>
      <c r="J304" s="10" t="str">
        <f t="shared" si="11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0"/>
        <v/>
      </c>
      <c r="J305" s="10" t="str">
        <f t="shared" si="11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0"/>
        <v/>
      </c>
      <c r="J306" s="10" t="str">
        <f t="shared" si="11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0"/>
        <v/>
      </c>
      <c r="J307" s="10" t="str">
        <f t="shared" si="11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0"/>
        <v/>
      </c>
      <c r="J308" s="10" t="str">
        <f t="shared" si="11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0"/>
        <v/>
      </c>
      <c r="J309" s="10" t="str">
        <f t="shared" si="11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0"/>
        <v/>
      </c>
      <c r="J310" s="10" t="str">
        <f t="shared" si="11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0"/>
        <v/>
      </c>
      <c r="J311" s="10" t="str">
        <f t="shared" si="11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0"/>
        <v/>
      </c>
      <c r="J312" s="10" t="str">
        <f t="shared" si="11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0"/>
        <v/>
      </c>
      <c r="J313" s="10" t="str">
        <f t="shared" si="11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0"/>
        <v/>
      </c>
      <c r="J314" s="10" t="str">
        <f t="shared" si="11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0"/>
        <v/>
      </c>
      <c r="J315" s="10" t="str">
        <f t="shared" si="11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0"/>
        <v/>
      </c>
      <c r="J316" s="10" t="str">
        <f t="shared" si="11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0"/>
        <v/>
      </c>
      <c r="J317" s="10" t="str">
        <f t="shared" si="11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2">IF(SUM(B326:F326,H326)=0,"",SUM(B326:F326,H326))</f>
        <v/>
      </c>
      <c r="J326" s="10" t="str">
        <f t="shared" ref="J326:J389" si="13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2"/>
        <v/>
      </c>
      <c r="J327" s="10" t="str">
        <f t="shared" si="13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2"/>
        <v/>
      </c>
      <c r="J328" s="10" t="str">
        <f t="shared" si="13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2"/>
        <v/>
      </c>
      <c r="J329" s="10" t="str">
        <f t="shared" si="13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2"/>
        <v/>
      </c>
      <c r="J330" s="10" t="str">
        <f t="shared" si="13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2"/>
        <v/>
      </c>
      <c r="J331" s="10" t="str">
        <f t="shared" si="13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2"/>
        <v/>
      </c>
      <c r="J332" s="10" t="str">
        <f t="shared" si="13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2"/>
        <v/>
      </c>
      <c r="J333" s="10" t="str">
        <f t="shared" si="13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2"/>
        <v/>
      </c>
      <c r="J334" s="10" t="str">
        <f t="shared" si="13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2"/>
        <v/>
      </c>
      <c r="J335" s="10" t="str">
        <f t="shared" si="13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2"/>
        <v/>
      </c>
      <c r="J336" s="10" t="str">
        <f t="shared" si="13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2"/>
        <v/>
      </c>
      <c r="J337" s="10" t="str">
        <f t="shared" si="13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2"/>
        <v/>
      </c>
      <c r="J338" s="10" t="str">
        <f t="shared" si="13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2"/>
        <v/>
      </c>
      <c r="J339" s="10" t="str">
        <f t="shared" si="13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2"/>
        <v/>
      </c>
      <c r="J340" s="10" t="str">
        <f t="shared" si="13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2"/>
        <v/>
      </c>
      <c r="J341" s="10" t="str">
        <f t="shared" si="13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2"/>
        <v/>
      </c>
      <c r="J342" s="10" t="str">
        <f t="shared" si="13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2"/>
        <v/>
      </c>
      <c r="J343" s="10" t="str">
        <f t="shared" si="13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2"/>
        <v/>
      </c>
      <c r="J344" s="10" t="str">
        <f t="shared" si="13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2"/>
        <v/>
      </c>
      <c r="J345" s="10" t="str">
        <f t="shared" si="13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2"/>
        <v/>
      </c>
      <c r="J346" s="10" t="str">
        <f t="shared" si="13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2"/>
        <v/>
      </c>
      <c r="J347" s="10" t="str">
        <f t="shared" si="13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2"/>
        <v/>
      </c>
      <c r="J348" s="10" t="str">
        <f t="shared" si="13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2"/>
        <v/>
      </c>
      <c r="J349" s="10" t="str">
        <f t="shared" si="13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2"/>
        <v/>
      </c>
      <c r="J350" s="10" t="str">
        <f t="shared" si="13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2"/>
        <v/>
      </c>
      <c r="J351" s="10" t="str">
        <f t="shared" si="13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2"/>
        <v/>
      </c>
      <c r="J352" s="10" t="str">
        <f t="shared" si="13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2"/>
        <v/>
      </c>
      <c r="J353" s="10" t="str">
        <f t="shared" si="13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2"/>
        <v/>
      </c>
      <c r="J354" s="10" t="str">
        <f t="shared" si="13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2"/>
        <v/>
      </c>
      <c r="J355" s="10" t="str">
        <f t="shared" si="13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2"/>
        <v/>
      </c>
      <c r="J356" s="10" t="str">
        <f t="shared" si="13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2"/>
        <v/>
      </c>
      <c r="J357" s="10" t="str">
        <f t="shared" si="13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2"/>
        <v/>
      </c>
      <c r="J358" s="10" t="str">
        <f t="shared" si="13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2"/>
        <v/>
      </c>
      <c r="J359" s="10" t="str">
        <f t="shared" si="13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2"/>
        <v/>
      </c>
      <c r="J360" s="10" t="str">
        <f t="shared" si="13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2"/>
        <v/>
      </c>
      <c r="J361" s="10" t="str">
        <f t="shared" si="13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2"/>
        <v/>
      </c>
      <c r="J362" s="10" t="str">
        <f t="shared" si="13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2"/>
        <v/>
      </c>
      <c r="J363" s="10" t="str">
        <f t="shared" si="13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2"/>
        <v/>
      </c>
      <c r="J364" s="10" t="str">
        <f t="shared" si="13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2"/>
        <v/>
      </c>
      <c r="J365" s="10" t="str">
        <f t="shared" si="13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2"/>
        <v/>
      </c>
      <c r="J366" s="10" t="str">
        <f t="shared" si="13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2"/>
        <v/>
      </c>
      <c r="J367" s="10" t="str">
        <f t="shared" si="13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2"/>
        <v/>
      </c>
      <c r="J368" s="10" t="str">
        <f t="shared" si="13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2"/>
        <v/>
      </c>
      <c r="J369" s="10" t="str">
        <f t="shared" si="13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2"/>
        <v/>
      </c>
      <c r="J370" s="10" t="str">
        <f t="shared" si="13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2"/>
        <v/>
      </c>
      <c r="J371" s="10" t="str">
        <f t="shared" si="13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2"/>
        <v/>
      </c>
      <c r="J372" s="10" t="str">
        <f t="shared" si="13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2"/>
        <v/>
      </c>
      <c r="J373" s="10" t="str">
        <f t="shared" si="13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2"/>
        <v/>
      </c>
      <c r="J374" s="10" t="str">
        <f t="shared" si="13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2"/>
        <v/>
      </c>
      <c r="J375" s="10" t="str">
        <f t="shared" si="13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2"/>
        <v/>
      </c>
      <c r="J376" s="10" t="str">
        <f t="shared" si="13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2"/>
        <v/>
      </c>
      <c r="J377" s="10" t="str">
        <f t="shared" si="13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2"/>
        <v/>
      </c>
      <c r="J378" s="10" t="str">
        <f t="shared" si="13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2"/>
        <v/>
      </c>
      <c r="J379" s="10" t="str">
        <f t="shared" si="13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2"/>
        <v/>
      </c>
      <c r="J380" s="10" t="str">
        <f t="shared" si="13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2"/>
        <v/>
      </c>
      <c r="J381" s="10" t="str">
        <f t="shared" si="13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4">IF(SUM(B390:F390,H390)=0,"",SUM(B390:F390,H390))</f>
        <v/>
      </c>
      <c r="J390" s="10" t="str">
        <f t="shared" ref="J390:J401" si="15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4"/>
        <v/>
      </c>
      <c r="J391" s="10" t="str">
        <f t="shared" si="15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4"/>
        <v/>
      </c>
      <c r="J392" s="10" t="str">
        <f t="shared" si="15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4"/>
        <v/>
      </c>
      <c r="J393" s="10" t="str">
        <f t="shared" si="15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4"/>
        <v/>
      </c>
      <c r="J394" s="10" t="str">
        <f t="shared" si="15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4"/>
        <v/>
      </c>
      <c r="J395" s="10" t="str">
        <f t="shared" si="15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4"/>
        <v/>
      </c>
      <c r="J396" s="10" t="str">
        <f t="shared" si="15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4"/>
        <v/>
      </c>
      <c r="J397" s="10" t="str">
        <f t="shared" si="15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4"/>
        <v/>
      </c>
      <c r="J398" s="10" t="str">
        <f t="shared" si="15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4"/>
        <v/>
      </c>
      <c r="J399" s="10" t="str">
        <f t="shared" si="15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4"/>
        <v/>
      </c>
      <c r="J400" s="10" t="str">
        <f t="shared" si="15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4"/>
        <v/>
      </c>
      <c r="J401" s="10" t="str">
        <f t="shared" si="15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katna</cp:lastModifiedBy>
  <cp:revision>0</cp:revision>
  <dcterms:created xsi:type="dcterms:W3CDTF">2026-07-24T11:49:30Z</dcterms:created>
  <dcterms:modified xsi:type="dcterms:W3CDTF">2026-09-06T08:03:53Z</dcterms:modified>
  <dc:language>en-US</dc:language>
</cp:coreProperties>
</file>